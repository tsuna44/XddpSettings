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テストケース" sheetId="1" state="visible" r:id="rId1"/>
    <sheet xmlns:r="http://schemas.openxmlformats.org/officeDocument/2006/relationships" name="ホワイトボックス" sheetId="2" state="visible" r:id="rId2"/>
    <sheet xmlns:r="http://schemas.openxmlformats.org/officeDocument/2006/relationships" name="回帰テスト" sheetId="3" state="visible" r:id="rId3"/>
    <sheet xmlns:r="http://schemas.openxmlformats.org/officeDocument/2006/relationships" name="統合テス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000000"/>
      <sz val="10"/>
    </font>
    <font>
      <name val="Arial"/>
      <color rgb="00000000"/>
      <sz val="10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b val="1"/>
      <color rgb="00000000"/>
      <sz val="12"/>
    </font>
  </fonts>
  <fills count="12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5F5F5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2F2F2"/>
      </patternFill>
    </fill>
    <fill>
      <patternFill patternType="solid">
        <fgColor rgb="00F8F8F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7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AAAAAA"/>
      </left>
      <right/>
      <top/>
      <bottom/>
      <diagonal/>
    </border>
    <border>
      <left style="thin">
        <color rgb="00AAAAAA"/>
      </left>
      <right style="thin">
        <color rgb="00AAAAAA"/>
      </right>
      <top/>
      <bottom/>
      <diagonal/>
    </border>
    <border>
      <left style="thin">
        <color rgb="00AAAAAA"/>
      </left>
      <right style="thin">
        <color rgb="00AAAAAA"/>
      </right>
      <top/>
      <bottom style="thin">
        <color rgb="00AAAAAA"/>
      </bottom>
      <diagonal/>
    </border>
    <border>
      <left/>
      <right style="thin">
        <color rgb="00AAAAAA"/>
      </right>
      <top/>
      <bottom style="thin">
        <color rgb="00AAAAAA"/>
      </bottom>
      <diagonal/>
    </border>
    <border>
      <left/>
      <right style="thin">
        <color rgb="00AAAAAA"/>
      </right>
      <top/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left" vertical="top" wrapText="1"/>
    </xf>
    <xf numFmtId="0" fontId="6" fillId="5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left" vertical="center" wrapText="1"/>
    </xf>
    <xf numFmtId="0" fontId="0" fillId="0" borderId="4" pivotButton="0" quotePrefix="0" xfId="0"/>
    <xf numFmtId="0" fontId="6" fillId="8" borderId="1" applyAlignment="1" pivotButton="0" quotePrefix="0" xfId="0">
      <alignment horizontal="left" vertical="center" wrapText="1"/>
    </xf>
    <xf numFmtId="0" fontId="0" fillId="8" borderId="1" applyAlignment="1" pivotButton="0" quotePrefix="0" xfId="0">
      <alignment horizontal="center" vertical="center" wrapText="1"/>
    </xf>
    <xf numFmtId="0" fontId="7" fillId="8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0" fillId="0" borderId="3" pivotButton="0" quotePrefix="0" xfId="0"/>
    <xf numFmtId="0" fontId="8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2" fillId="9" borderId="1" applyAlignment="1" pivotButton="0" quotePrefix="0" xfId="0">
      <alignment horizontal="center" vertical="center" wrapText="1"/>
    </xf>
    <xf numFmtId="0" fontId="2" fillId="11" borderId="1" applyAlignment="1" pivotButton="0" quotePrefix="0" xfId="0">
      <alignment horizontal="center" vertical="center" wrapText="1"/>
    </xf>
    <xf numFmtId="0" fontId="2" fillId="7" borderId="1" applyAlignment="1" pivotButton="0" quotePrefix="0" xfId="0">
      <alignment horizontal="center" vertical="center" wrapText="1"/>
    </xf>
    <xf numFmtId="0" fontId="0" fillId="3" borderId="1" pivotButton="0" quotePrefix="0" xfId="0"/>
    <xf numFmtId="0" fontId="9" fillId="9" borderId="1" applyAlignment="1" pivotButton="0" quotePrefix="0" xfId="0">
      <alignment horizontal="center" vertical="center" wrapText="1"/>
    </xf>
    <xf numFmtId="0" fontId="9" fillId="11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0" customWidth="1" min="4" max="4"/>
    <col width="22" customWidth="1" min="5" max="5"/>
    <col width="36" customWidth="1" min="6" max="6"/>
    <col width="28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6" customHeight="1">
      <c r="A1" s="1" t="inlineStr">
        <is>
          <t>テストケース仕様書 ― 全テストケース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5" ht="18" customHeight="1">
      <c r="A5" s="4" t="inlineStr">
        <is>
          <t>TC番号</t>
        </is>
      </c>
      <c r="B5" s="4" t="inlineStr">
        <is>
          <t>テスト種別</t>
        </is>
      </c>
      <c r="C5" s="4" t="inlineStr">
        <is>
          <t>テストケース名</t>
        </is>
      </c>
      <c r="D5" s="4" t="inlineStr">
        <is>
          <t>対応仕様番号</t>
        </is>
      </c>
      <c r="E5" s="4" t="inlineStr">
        <is>
          <t>観点</t>
        </is>
      </c>
      <c r="F5" s="4" t="inlineStr">
        <is>
          <t>確認手順</t>
        </is>
      </c>
      <c r="G5" s="4" t="inlineStr">
        <is>
          <t>確認内容</t>
        </is>
      </c>
      <c r="H5" s="4" t="inlineStr">
        <is>
          <t>確認結果</t>
        </is>
      </c>
      <c r="I5" s="4" t="inlineStr">
        <is>
          <t>確認日</t>
        </is>
      </c>
      <c r="J5" s="4" t="inlineStr">
        <is>
          <t>確認者</t>
        </is>
      </c>
      <c r="K5" s="4" t="inlineStr">
        <is>
          <t>備考</t>
        </is>
      </c>
    </row>
    <row r="6" ht="22" customHeight="1">
      <c r="A6" s="5" t="inlineStr">
        <is>
          <t>TC-WB-031-01</t>
        </is>
      </c>
      <c r="B6" s="5" t="inlineStr">
        <is>
          <t>ホワイトボックス</t>
        </is>
      </c>
      <c r="C6" s="6" t="inlineStr">
        <is>
          <t>しきい値未満でアラームが発生しないこと</t>
        </is>
      </c>
      <c r="D6" s="6" t="inlineStr">
        <is>
          <t>CRS-2024-031-01-01</t>
        </is>
      </c>
      <c r="E6" s="6" t="inlineStr">
        <is>
          <t>境界値（しきい値-0.1）</t>
        </is>
      </c>
      <c r="F6" s="6" t="inlineStr">
        <is>
          <t>1. sensor_value=84.9fを引数にdetect_anomaly()を呼び出す
2. 戻り値を確認する</t>
        </is>
      </c>
      <c r="G6" s="7" t="inlineStr">
        <is>
          <t>戻り値がfalseであること</t>
        </is>
      </c>
      <c r="H6" s="8" t="inlineStr">
        <is>
          <t>未実施</t>
        </is>
      </c>
      <c r="I6" s="9" t="inlineStr"/>
      <c r="J6" s="9" t="inlineStr"/>
      <c r="K6" s="10" t="inlineStr"/>
    </row>
    <row r="7" ht="22" customHeight="1">
      <c r="A7" s="11" t="n"/>
      <c r="B7" s="11" t="n"/>
      <c r="C7" s="11" t="n"/>
      <c r="D7" s="11" t="n"/>
      <c r="E7" s="11" t="n"/>
      <c r="F7" s="11" t="n"/>
      <c r="G7" s="12" t="inlineStr">
        <is>
          <t>アラームログが出力されないこと</t>
        </is>
      </c>
      <c r="H7" s="8" t="inlineStr">
        <is>
          <t>未実施</t>
        </is>
      </c>
      <c r="I7" s="13" t="inlineStr"/>
      <c r="J7" s="13" t="inlineStr"/>
      <c r="K7" s="14" t="inlineStr"/>
    </row>
    <row r="9" ht="22" customHeight="1">
      <c r="A9" s="5" t="inlineStr">
        <is>
          <t>TC-WB-031-02</t>
        </is>
      </c>
      <c r="B9" s="5" t="inlineStr">
        <is>
          <t>ホワイトボックス</t>
        </is>
      </c>
      <c r="C9" s="6" t="inlineStr">
        <is>
          <t>しきい値ちょうどでアラームが発生すること</t>
        </is>
      </c>
      <c r="D9" s="6" t="inlineStr">
        <is>
          <t>CRS-2024-031-01-02</t>
        </is>
      </c>
      <c r="E9" s="6" t="inlineStr">
        <is>
          <t>境界値（しきい値ちょうど）</t>
        </is>
      </c>
      <c r="F9" s="6" t="inlineStr">
        <is>
          <t>1. sensor_value=85.0fを引数にdetect_anomaly()を呼び出す
2. 戻り値を確認する</t>
        </is>
      </c>
      <c r="G9" s="7" t="inlineStr">
        <is>
          <t>戻り値がtrueであること</t>
        </is>
      </c>
      <c r="H9" s="8" t="inlineStr">
        <is>
          <t>未実施</t>
        </is>
      </c>
      <c r="I9" s="9" t="inlineStr"/>
      <c r="J9" s="9" t="inlineStr"/>
      <c r="K9" s="10" t="inlineStr"/>
    </row>
    <row r="10" ht="22" customHeight="1">
      <c r="A10" s="11" t="n"/>
      <c r="B10" s="11" t="n"/>
      <c r="C10" s="11" t="n"/>
      <c r="D10" s="11" t="n"/>
      <c r="E10" s="11" t="n"/>
      <c r="F10" s="11" t="n"/>
      <c r="G10" s="12" t="inlineStr">
        <is>
          <t>アラームログが出力されること</t>
        </is>
      </c>
      <c r="H10" s="8" t="inlineStr">
        <is>
          <t>未実施</t>
        </is>
      </c>
      <c r="I10" s="13" t="inlineStr"/>
      <c r="J10" s="13" t="inlineStr"/>
      <c r="K10" s="14" t="inlineStr"/>
    </row>
    <row r="12" ht="22" customHeight="1">
      <c r="A12" s="5" t="inlineStr">
        <is>
          <t>TC-WB-031-03</t>
        </is>
      </c>
      <c r="B12" s="5" t="inlineStr">
        <is>
          <t>ホワイトボックス</t>
        </is>
      </c>
      <c r="C12" s="6" t="inlineStr">
        <is>
          <t>旧しきい値（80.0f）でアラームが発生しないこと</t>
        </is>
      </c>
      <c r="D12" s="6" t="inlineStr">
        <is>
          <t>CRS-2024-031-01-01</t>
        </is>
      </c>
      <c r="E12" s="6" t="inlineStr">
        <is>
          <t>変更前境界値での非検知確認</t>
        </is>
      </c>
      <c r="F12" s="6" t="inlineStr">
        <is>
          <t>1. sensor_value=80.0fを引数にdetect_anomaly()を呼び出す
2. 戻り値を確認する</t>
        </is>
      </c>
      <c r="G12" s="7" t="inlineStr">
        <is>
          <t>戻り値がfalseであること（旧しきい値では発生しない）</t>
        </is>
      </c>
      <c r="H12" s="8" t="inlineStr">
        <is>
          <t>未実施</t>
        </is>
      </c>
      <c r="I12" s="9" t="inlineStr"/>
      <c r="J12" s="9" t="inlineStr"/>
      <c r="K12" s="10" t="inlineStr"/>
    </row>
    <row r="14" ht="22" customHeight="1">
      <c r="A14" s="5" t="inlineStr">
        <is>
          <t>TC-WB-031-04</t>
        </is>
      </c>
      <c r="B14" s="5" t="inlineStr">
        <is>
          <t>ホワイトボックス</t>
        </is>
      </c>
      <c r="C14" s="6" t="inlineStr">
        <is>
          <t>TEMP_THRESHOLDが85.0fで定義されていること</t>
        </is>
      </c>
      <c r="D14" s="6" t="inlineStr">
        <is>
          <t>CRS-2024-031-02-01</t>
        </is>
      </c>
      <c r="E14" s="6" t="inlineStr">
        <is>
          <t>定数値の確認</t>
        </is>
      </c>
      <c r="F14" s="6" t="inlineStr">
        <is>
          <t>1. sensor_common.hのTEMP_THRESHOLD定数の値を確認する</t>
        </is>
      </c>
      <c r="G14" s="7" t="inlineStr">
        <is>
          <t>TEMP_THRESHOLDが85.0fであること</t>
        </is>
      </c>
      <c r="H14" s="8" t="inlineStr">
        <is>
          <t>未実施</t>
        </is>
      </c>
      <c r="I14" s="9" t="inlineStr"/>
      <c r="J14" s="9" t="inlineStr"/>
      <c r="K14" s="10" t="inlineStr"/>
    </row>
    <row r="16" ht="22" customHeight="1">
      <c r="A16" s="15" t="inlineStr">
        <is>
          <t>TC-RG-031-01</t>
        </is>
      </c>
      <c r="B16" s="15" t="inlineStr">
        <is>
          <t>回帰</t>
        </is>
      </c>
      <c r="C16" s="16" t="inlineStr">
        <is>
          <t>圧力センサーのしきい値が変化していないこと</t>
        </is>
      </c>
      <c r="D16" s="16" t="inlineStr">
        <is>
          <t>CRS-2024-031-02-02</t>
        </is>
      </c>
      <c r="E16" s="16" t="inlineStr">
        <is>
          <t>他センサーへの影響なし</t>
        </is>
      </c>
      <c r="F16" s="16" t="inlineStr">
        <is>
          <t>1. SENSOR_THRESHOLDの値を確認する
2. 圧力センサーの異常検知処理を実行する</t>
        </is>
      </c>
      <c r="G16" s="7" t="inlineStr">
        <is>
          <t>SENSOR_THRESHOLDが80.0fのまま変化していないこと</t>
        </is>
      </c>
      <c r="H16" s="8" t="inlineStr">
        <is>
          <t>未実施</t>
        </is>
      </c>
      <c r="I16" s="9" t="inlineStr"/>
      <c r="J16" s="9" t="inlineStr"/>
      <c r="K16" s="10" t="inlineStr"/>
    </row>
    <row r="17" ht="22" customHeight="1">
      <c r="A17" s="11" t="n"/>
      <c r="B17" s="11" t="n"/>
      <c r="C17" s="11" t="n"/>
      <c r="D17" s="11" t="n"/>
      <c r="E17" s="11" t="n"/>
      <c r="F17" s="11" t="n"/>
      <c r="G17" s="12" t="inlineStr">
        <is>
          <t>圧力センサーが従来通りに検知すること</t>
        </is>
      </c>
      <c r="H17" s="8" t="inlineStr">
        <is>
          <t>未実施</t>
        </is>
      </c>
      <c r="I17" s="13" t="inlineStr"/>
      <c r="J17" s="13" t="inlineStr"/>
      <c r="K17" s="14" t="inlineStr"/>
    </row>
    <row r="19" ht="22" customHeight="1">
      <c r="A19" s="15" t="inlineStr">
        <is>
          <t>TC-RG-031-02</t>
        </is>
      </c>
      <c r="B19" s="15" t="inlineStr">
        <is>
          <t>回帰</t>
        </is>
      </c>
      <c r="C19" s="16" t="inlineStr">
        <is>
          <t>警報ログのCSV出力フォーマットが変化していないこと</t>
        </is>
      </c>
      <c r="D19" s="16" t="inlineStr">
        <is>
          <t>CRS-2024-031-01-03</t>
        </is>
      </c>
      <c r="E19" s="16" t="inlineStr">
        <is>
          <t>CSVフォーマット不変の確認</t>
        </is>
      </c>
      <c r="F19" s="16" t="inlineStr">
        <is>
          <t>1. アラーム発生状態でwrite_alarm_log()を実行する
2. 出力されたCSVのフォーマットを確認する</t>
        </is>
      </c>
      <c r="G19" s="7" t="inlineStr">
        <is>
          <t>CSVのカラム順・フォーマットが変更前と一致すること</t>
        </is>
      </c>
      <c r="H19" s="8" t="inlineStr">
        <is>
          <t>未実施</t>
        </is>
      </c>
      <c r="I19" s="9" t="inlineStr"/>
      <c r="J19" s="9" t="inlineStr"/>
      <c r="K19" s="10" t="inlineStr"/>
    </row>
    <row r="21" ht="22" customHeight="1">
      <c r="A21" s="17" t="inlineStr">
        <is>
          <t>TC-IT-031-01</t>
        </is>
      </c>
      <c r="B21" s="17" t="inlineStr">
        <is>
          <t>統合</t>
        </is>
      </c>
      <c r="C21" s="18" t="inlineStr">
        <is>
          <t>monitor_loop→detect_anomaly→update_state の連携確認</t>
        </is>
      </c>
      <c r="D21" s="18" t="inlineStr">
        <is>
          <t>CRS-2024-031-02-01</t>
        </is>
      </c>
      <c r="E21" s="18" t="inlineStr">
        <is>
          <t>モジュール間IF・状態遷移の連携</t>
        </is>
      </c>
      <c r="F21" s="18" t="inlineStr">
        <is>
          <t>1. monitor_loop()を起動し、sensor_value=85.0fのデータを入力する
2. detect_anomaly()の戻り値とSensorStateの状態を確認する</t>
        </is>
      </c>
      <c r="G21" s="7" t="inlineStr">
        <is>
          <t>detect_anomaly()がtrueを返すこと</t>
        </is>
      </c>
      <c r="H21" s="8" t="inlineStr">
        <is>
          <t>未実施</t>
        </is>
      </c>
      <c r="I21" s="9" t="inlineStr"/>
      <c r="J21" s="9" t="inlineStr"/>
      <c r="K21" s="10" t="inlineStr"/>
    </row>
    <row r="22" ht="22" customHeight="1">
      <c r="A22" s="19" t="n"/>
      <c r="B22" s="19" t="n"/>
      <c r="C22" s="19" t="n"/>
      <c r="D22" s="19" t="n"/>
      <c r="E22" s="19" t="n"/>
      <c r="F22" s="19" t="n"/>
      <c r="G22" s="12" t="inlineStr">
        <is>
          <t>SensorStateがALARM_CRITICALに遷移すること</t>
        </is>
      </c>
      <c r="H22" s="8" t="inlineStr">
        <is>
          <t>未実施</t>
        </is>
      </c>
      <c r="I22" s="13" t="inlineStr"/>
      <c r="J22" s="13" t="inlineStr"/>
      <c r="K22" s="14" t="inlineStr"/>
    </row>
    <row r="23" ht="22" customHeight="1">
      <c r="A23" s="11" t="n"/>
      <c r="B23" s="11" t="n"/>
      <c r="C23" s="11" t="n"/>
      <c r="D23" s="11" t="n"/>
      <c r="E23" s="11" t="n"/>
      <c r="F23" s="11" t="n"/>
      <c r="G23" s="7" t="inlineStr">
        <is>
          <t>write_alarm_log()が呼び出されCSVに出力されること</t>
        </is>
      </c>
      <c r="H23" s="8" t="inlineStr">
        <is>
          <t>未実施</t>
        </is>
      </c>
      <c r="I23" s="9" t="inlineStr"/>
      <c r="J23" s="9" t="inlineStr"/>
      <c r="K23" s="10" t="inlineStr"/>
    </row>
    <row r="26" ht="20" customHeight="1">
      <c r="A26" s="20" t="inlineStr">
        <is>
          <t>テスト結果サマリ</t>
        </is>
      </c>
    </row>
    <row r="27">
      <c r="A27" s="21" t="inlineStr">
        <is>
          <t>確認結果集計</t>
        </is>
      </c>
      <c r="B27" s="22" t="n"/>
      <c r="C27" s="23" t="inlineStr">
        <is>
          <t>OK数</t>
        </is>
      </c>
      <c r="D27" s="24" t="inlineStr">
        <is>
          <t>NG数</t>
        </is>
      </c>
      <c r="E27" s="25" t="inlineStr">
        <is>
          <t>未実施</t>
        </is>
      </c>
      <c r="F27" s="21" t="inlineStr">
        <is>
          <t>合計</t>
        </is>
      </c>
    </row>
    <row r="28">
      <c r="A28" s="26" t="n"/>
      <c r="B28" s="26" t="n"/>
      <c r="C28" s="27">
        <f>COUNTIF(H6:H24,"OK")</f>
        <v/>
      </c>
      <c r="D28" s="28">
        <f>COUNTIF(H6:H24,"NG")</f>
        <v/>
      </c>
      <c r="E28" s="29">
        <f>COUNTIF(H6:H24,"未実施")</f>
        <v/>
      </c>
      <c r="F28" s="30">
        <f>COUNTA(H6:H24)</f>
        <v/>
      </c>
    </row>
  </sheetData>
  <mergeCells count="31">
    <mergeCell ref="A21:A23"/>
    <mergeCell ref="C21:C23"/>
    <mergeCell ref="A16:A17"/>
    <mergeCell ref="A6:A7"/>
    <mergeCell ref="C16:C17"/>
    <mergeCell ref="A1:K1"/>
    <mergeCell ref="C2:K2"/>
    <mergeCell ref="C9:C10"/>
    <mergeCell ref="E9:E10"/>
    <mergeCell ref="E21:E23"/>
    <mergeCell ref="D16:D17"/>
    <mergeCell ref="E6:E7"/>
    <mergeCell ref="A27:B27"/>
    <mergeCell ref="B6:B7"/>
    <mergeCell ref="A3:B3"/>
    <mergeCell ref="B9:B10"/>
    <mergeCell ref="A2:B2"/>
    <mergeCell ref="D9:D10"/>
    <mergeCell ref="F9:F10"/>
    <mergeCell ref="A26:K26"/>
    <mergeCell ref="B21:B23"/>
    <mergeCell ref="D21:D23"/>
    <mergeCell ref="C3:K3"/>
    <mergeCell ref="E16:E17"/>
    <mergeCell ref="F21:F23"/>
    <mergeCell ref="A9:A10"/>
    <mergeCell ref="B16:B17"/>
    <mergeCell ref="C6:C7"/>
    <mergeCell ref="D6:D7"/>
    <mergeCell ref="F16:F17"/>
    <mergeCell ref="F6:F7"/>
  </mergeCells>
  <dataValidations count="1">
    <dataValidation sqref="H6 H7 H9 H10 H12 H14 H16 H17 H19 H21 H22 H23" showDropDown="0" showInputMessage="0" showErrorMessage="0" allowBlank="1" type="list">
      <formula1>"OK,NG,未実施"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0" customWidth="1" min="4" max="4"/>
    <col width="22" customWidth="1" min="5" max="5"/>
    <col width="36" customWidth="1" min="6" max="6"/>
    <col width="28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6" customHeight="1">
      <c r="A1" s="1" t="inlineStr">
        <is>
          <t>テストケース仕様書 ― ホワイトボックス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5" ht="18" customHeight="1">
      <c r="A5" s="4" t="inlineStr">
        <is>
          <t>TC番号</t>
        </is>
      </c>
      <c r="B5" s="4" t="inlineStr">
        <is>
          <t>テスト種別</t>
        </is>
      </c>
      <c r="C5" s="4" t="inlineStr">
        <is>
          <t>テストケース名</t>
        </is>
      </c>
      <c r="D5" s="4" t="inlineStr">
        <is>
          <t>対応仕様番号</t>
        </is>
      </c>
      <c r="E5" s="4" t="inlineStr">
        <is>
          <t>観点</t>
        </is>
      </c>
      <c r="F5" s="4" t="inlineStr">
        <is>
          <t>確認手順</t>
        </is>
      </c>
      <c r="G5" s="4" t="inlineStr">
        <is>
          <t>確認内容</t>
        </is>
      </c>
      <c r="H5" s="4" t="inlineStr">
        <is>
          <t>確認結果</t>
        </is>
      </c>
      <c r="I5" s="4" t="inlineStr">
        <is>
          <t>確認日</t>
        </is>
      </c>
      <c r="J5" s="4" t="inlineStr">
        <is>
          <t>確認者</t>
        </is>
      </c>
      <c r="K5" s="4" t="inlineStr">
        <is>
          <t>備考</t>
        </is>
      </c>
    </row>
    <row r="6" ht="22" customHeight="1">
      <c r="A6" s="5" t="inlineStr">
        <is>
          <t>TC-WB-031-01</t>
        </is>
      </c>
      <c r="B6" s="5" t="inlineStr">
        <is>
          <t>ホワイトボックス</t>
        </is>
      </c>
      <c r="C6" s="6" t="inlineStr">
        <is>
          <t>しきい値未満でアラームが発生しないこと</t>
        </is>
      </c>
      <c r="D6" s="6" t="inlineStr">
        <is>
          <t>CRS-2024-031-01-01</t>
        </is>
      </c>
      <c r="E6" s="6" t="inlineStr">
        <is>
          <t>境界値（しきい値-0.1）</t>
        </is>
      </c>
      <c r="F6" s="6" t="inlineStr">
        <is>
          <t>1. sensor_value=84.9fを引数にdetect_anomaly()を呼び出す
2. 戻り値を確認する</t>
        </is>
      </c>
      <c r="G6" s="7" t="inlineStr">
        <is>
          <t>戻り値がfalseであること</t>
        </is>
      </c>
      <c r="H6" s="8" t="inlineStr">
        <is>
          <t>未実施</t>
        </is>
      </c>
      <c r="I6" s="9" t="inlineStr"/>
      <c r="J6" s="9" t="inlineStr"/>
      <c r="K6" s="10" t="inlineStr"/>
    </row>
    <row r="7" ht="22" customHeight="1">
      <c r="A7" s="11" t="n"/>
      <c r="B7" s="11" t="n"/>
      <c r="C7" s="11" t="n"/>
      <c r="D7" s="11" t="n"/>
      <c r="E7" s="11" t="n"/>
      <c r="F7" s="11" t="n"/>
      <c r="G7" s="12" t="inlineStr">
        <is>
          <t>アラームログが出力されないこと</t>
        </is>
      </c>
      <c r="H7" s="8" t="inlineStr">
        <is>
          <t>未実施</t>
        </is>
      </c>
      <c r="I7" s="13" t="inlineStr"/>
      <c r="J7" s="13" t="inlineStr"/>
      <c r="K7" s="14" t="inlineStr"/>
    </row>
    <row r="9" ht="22" customHeight="1">
      <c r="A9" s="5" t="inlineStr">
        <is>
          <t>TC-WB-031-02</t>
        </is>
      </c>
      <c r="B9" s="5" t="inlineStr">
        <is>
          <t>ホワイトボックス</t>
        </is>
      </c>
      <c r="C9" s="6" t="inlineStr">
        <is>
          <t>しきい値ちょうどでアラームが発生すること</t>
        </is>
      </c>
      <c r="D9" s="6" t="inlineStr">
        <is>
          <t>CRS-2024-031-01-02</t>
        </is>
      </c>
      <c r="E9" s="6" t="inlineStr">
        <is>
          <t>境界値（しきい値ちょうど）</t>
        </is>
      </c>
      <c r="F9" s="6" t="inlineStr">
        <is>
          <t>1. sensor_value=85.0fを引数にdetect_anomaly()を呼び出す
2. 戻り値を確認する</t>
        </is>
      </c>
      <c r="G9" s="7" t="inlineStr">
        <is>
          <t>戻り値がtrueであること</t>
        </is>
      </c>
      <c r="H9" s="8" t="inlineStr">
        <is>
          <t>未実施</t>
        </is>
      </c>
      <c r="I9" s="9" t="inlineStr"/>
      <c r="J9" s="9" t="inlineStr"/>
      <c r="K9" s="10" t="inlineStr"/>
    </row>
    <row r="10" ht="22" customHeight="1">
      <c r="A10" s="11" t="n"/>
      <c r="B10" s="11" t="n"/>
      <c r="C10" s="11" t="n"/>
      <c r="D10" s="11" t="n"/>
      <c r="E10" s="11" t="n"/>
      <c r="F10" s="11" t="n"/>
      <c r="G10" s="12" t="inlineStr">
        <is>
          <t>アラームログが出力されること</t>
        </is>
      </c>
      <c r="H10" s="8" t="inlineStr">
        <is>
          <t>未実施</t>
        </is>
      </c>
      <c r="I10" s="13" t="inlineStr"/>
      <c r="J10" s="13" t="inlineStr"/>
      <c r="K10" s="14" t="inlineStr"/>
    </row>
    <row r="12" ht="22" customHeight="1">
      <c r="A12" s="5" t="inlineStr">
        <is>
          <t>TC-WB-031-03</t>
        </is>
      </c>
      <c r="B12" s="5" t="inlineStr">
        <is>
          <t>ホワイトボックス</t>
        </is>
      </c>
      <c r="C12" s="6" t="inlineStr">
        <is>
          <t>旧しきい値（80.0f）でアラームが発生しないこと</t>
        </is>
      </c>
      <c r="D12" s="6" t="inlineStr">
        <is>
          <t>CRS-2024-031-01-01</t>
        </is>
      </c>
      <c r="E12" s="6" t="inlineStr">
        <is>
          <t>変更前境界値での非検知確認</t>
        </is>
      </c>
      <c r="F12" s="6" t="inlineStr">
        <is>
          <t>1. sensor_value=80.0fを引数にdetect_anomaly()を呼び出す
2. 戻り値を確認する</t>
        </is>
      </c>
      <c r="G12" s="7" t="inlineStr">
        <is>
          <t>戻り値がfalseであること（旧しきい値では発生しない）</t>
        </is>
      </c>
      <c r="H12" s="8" t="inlineStr">
        <is>
          <t>未実施</t>
        </is>
      </c>
      <c r="I12" s="9" t="inlineStr"/>
      <c r="J12" s="9" t="inlineStr"/>
      <c r="K12" s="10" t="inlineStr"/>
    </row>
    <row r="14" ht="22" customHeight="1">
      <c r="A14" s="5" t="inlineStr">
        <is>
          <t>TC-WB-031-04</t>
        </is>
      </c>
      <c r="B14" s="5" t="inlineStr">
        <is>
          <t>ホワイトボックス</t>
        </is>
      </c>
      <c r="C14" s="6" t="inlineStr">
        <is>
          <t>TEMP_THRESHOLDが85.0fで定義されていること</t>
        </is>
      </c>
      <c r="D14" s="6" t="inlineStr">
        <is>
          <t>CRS-2024-031-02-01</t>
        </is>
      </c>
      <c r="E14" s="6" t="inlineStr">
        <is>
          <t>定数値の確認</t>
        </is>
      </c>
      <c r="F14" s="6" t="inlineStr">
        <is>
          <t>1. sensor_common.hのTEMP_THRESHOLD定数の値を確認する</t>
        </is>
      </c>
      <c r="G14" s="7" t="inlineStr">
        <is>
          <t>TEMP_THRESHOLDが85.0fであること</t>
        </is>
      </c>
      <c r="H14" s="8" t="inlineStr">
        <is>
          <t>未実施</t>
        </is>
      </c>
      <c r="I14" s="9" t="inlineStr"/>
      <c r="J14" s="9" t="inlineStr"/>
      <c r="K14" s="10" t="inlineStr"/>
    </row>
    <row r="17" ht="20" customHeight="1">
      <c r="A17" s="20" t="inlineStr">
        <is>
          <t>テスト結果サマリ</t>
        </is>
      </c>
    </row>
    <row r="18">
      <c r="A18" s="21" t="inlineStr">
        <is>
          <t>確認結果集計</t>
        </is>
      </c>
      <c r="B18" s="22" t="n"/>
      <c r="C18" s="23" t="inlineStr">
        <is>
          <t>OK数</t>
        </is>
      </c>
      <c r="D18" s="24" t="inlineStr">
        <is>
          <t>NG数</t>
        </is>
      </c>
      <c r="E18" s="25" t="inlineStr">
        <is>
          <t>未実施</t>
        </is>
      </c>
      <c r="F18" s="21" t="inlineStr">
        <is>
          <t>合計</t>
        </is>
      </c>
    </row>
    <row r="19">
      <c r="A19" s="26" t="n"/>
      <c r="B19" s="26" t="n"/>
      <c r="C19" s="27">
        <f>COUNTIF(H6:H15,"OK")</f>
        <v/>
      </c>
      <c r="D19" s="28">
        <f>COUNTIF(H6:H15,"NG")</f>
        <v/>
      </c>
      <c r="E19" s="29">
        <f>COUNTIF(H6:H15,"未実施")</f>
        <v/>
      </c>
      <c r="F19" s="30">
        <f>COUNTA(H6:H15)</f>
        <v/>
      </c>
    </row>
  </sheetData>
  <mergeCells count="19">
    <mergeCell ref="A6:A7"/>
    <mergeCell ref="A1:K1"/>
    <mergeCell ref="C2:K2"/>
    <mergeCell ref="C9:C10"/>
    <mergeCell ref="E9:E10"/>
    <mergeCell ref="E6:E7"/>
    <mergeCell ref="A18:B18"/>
    <mergeCell ref="B6:B7"/>
    <mergeCell ref="A3:B3"/>
    <mergeCell ref="B9:B10"/>
    <mergeCell ref="A2:B2"/>
    <mergeCell ref="D9:D10"/>
    <mergeCell ref="F9:F10"/>
    <mergeCell ref="C3:K3"/>
    <mergeCell ref="A17:K17"/>
    <mergeCell ref="A9:A10"/>
    <mergeCell ref="C6:C7"/>
    <mergeCell ref="D6:D7"/>
    <mergeCell ref="F6:F7"/>
  </mergeCells>
  <dataValidations count="1">
    <dataValidation sqref="H6 H7 H9 H10 H12 H14" showDropDown="0" showInputMessage="0" showErrorMessage="0" allowBlank="1" type="list">
      <formula1>"OK,NG,未実施"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0" customWidth="1" min="4" max="4"/>
    <col width="22" customWidth="1" min="5" max="5"/>
    <col width="36" customWidth="1" min="6" max="6"/>
    <col width="28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6" customHeight="1">
      <c r="A1" s="1" t="inlineStr">
        <is>
          <t>テストケース仕様書 ― 回帰テスト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5" ht="18" customHeight="1">
      <c r="A5" s="4" t="inlineStr">
        <is>
          <t>TC番号</t>
        </is>
      </c>
      <c r="B5" s="4" t="inlineStr">
        <is>
          <t>テスト種別</t>
        </is>
      </c>
      <c r="C5" s="4" t="inlineStr">
        <is>
          <t>テストケース名</t>
        </is>
      </c>
      <c r="D5" s="4" t="inlineStr">
        <is>
          <t>対応仕様番号</t>
        </is>
      </c>
      <c r="E5" s="4" t="inlineStr">
        <is>
          <t>観点</t>
        </is>
      </c>
      <c r="F5" s="4" t="inlineStr">
        <is>
          <t>確認手順</t>
        </is>
      </c>
      <c r="G5" s="4" t="inlineStr">
        <is>
          <t>確認内容</t>
        </is>
      </c>
      <c r="H5" s="4" t="inlineStr">
        <is>
          <t>確認結果</t>
        </is>
      </c>
      <c r="I5" s="4" t="inlineStr">
        <is>
          <t>確認日</t>
        </is>
      </c>
      <c r="J5" s="4" t="inlineStr">
        <is>
          <t>確認者</t>
        </is>
      </c>
      <c r="K5" s="4" t="inlineStr">
        <is>
          <t>備考</t>
        </is>
      </c>
    </row>
    <row r="6" ht="22" customHeight="1">
      <c r="A6" s="15" t="inlineStr">
        <is>
          <t>TC-RG-031-01</t>
        </is>
      </c>
      <c r="B6" s="15" t="inlineStr">
        <is>
          <t>回帰</t>
        </is>
      </c>
      <c r="C6" s="16" t="inlineStr">
        <is>
          <t>圧力センサーのしきい値が変化していないこと</t>
        </is>
      </c>
      <c r="D6" s="16" t="inlineStr">
        <is>
          <t>CRS-2024-031-02-02</t>
        </is>
      </c>
      <c r="E6" s="16" t="inlineStr">
        <is>
          <t>他センサーへの影響なし</t>
        </is>
      </c>
      <c r="F6" s="16" t="inlineStr">
        <is>
          <t>1. SENSOR_THRESHOLDの値を確認する
2. 圧力センサーの異常検知処理を実行する</t>
        </is>
      </c>
      <c r="G6" s="7" t="inlineStr">
        <is>
          <t>SENSOR_THRESHOLDが80.0fのまま変化していないこと</t>
        </is>
      </c>
      <c r="H6" s="8" t="inlineStr">
        <is>
          <t>未実施</t>
        </is>
      </c>
      <c r="I6" s="9" t="inlineStr"/>
      <c r="J6" s="9" t="inlineStr"/>
      <c r="K6" s="10" t="inlineStr"/>
    </row>
    <row r="7" ht="22" customHeight="1">
      <c r="A7" s="11" t="n"/>
      <c r="B7" s="11" t="n"/>
      <c r="C7" s="11" t="n"/>
      <c r="D7" s="11" t="n"/>
      <c r="E7" s="11" t="n"/>
      <c r="F7" s="11" t="n"/>
      <c r="G7" s="12" t="inlineStr">
        <is>
          <t>圧力センサーが従来通りに検知すること</t>
        </is>
      </c>
      <c r="H7" s="8" t="inlineStr">
        <is>
          <t>未実施</t>
        </is>
      </c>
      <c r="I7" s="13" t="inlineStr"/>
      <c r="J7" s="13" t="inlineStr"/>
      <c r="K7" s="14" t="inlineStr"/>
    </row>
    <row r="9" ht="22" customHeight="1">
      <c r="A9" s="15" t="inlineStr">
        <is>
          <t>TC-RG-031-02</t>
        </is>
      </c>
      <c r="B9" s="15" t="inlineStr">
        <is>
          <t>回帰</t>
        </is>
      </c>
      <c r="C9" s="16" t="inlineStr">
        <is>
          <t>警報ログのCSV出力フォーマットが変化していないこと</t>
        </is>
      </c>
      <c r="D9" s="16" t="inlineStr">
        <is>
          <t>CRS-2024-031-01-03</t>
        </is>
      </c>
      <c r="E9" s="16" t="inlineStr">
        <is>
          <t>CSVフォーマット不変の確認</t>
        </is>
      </c>
      <c r="F9" s="16" t="inlineStr">
        <is>
          <t>1. アラーム発生状態でwrite_alarm_log()を実行する
2. 出力されたCSVのフォーマットを確認する</t>
        </is>
      </c>
      <c r="G9" s="7" t="inlineStr">
        <is>
          <t>CSVのカラム順・フォーマットが変更前と一致すること</t>
        </is>
      </c>
      <c r="H9" s="8" t="inlineStr">
        <is>
          <t>未実施</t>
        </is>
      </c>
      <c r="I9" s="9" t="inlineStr"/>
      <c r="J9" s="9" t="inlineStr"/>
      <c r="K9" s="10" t="inlineStr"/>
    </row>
    <row r="12" ht="20" customHeight="1">
      <c r="A12" s="20" t="inlineStr">
        <is>
          <t>テスト結果サマリ</t>
        </is>
      </c>
    </row>
    <row r="13">
      <c r="A13" s="21" t="inlineStr">
        <is>
          <t>確認結果集計</t>
        </is>
      </c>
      <c r="B13" s="22" t="n"/>
      <c r="C13" s="23" t="inlineStr">
        <is>
          <t>OK数</t>
        </is>
      </c>
      <c r="D13" s="24" t="inlineStr">
        <is>
          <t>NG数</t>
        </is>
      </c>
      <c r="E13" s="25" t="inlineStr">
        <is>
          <t>未実施</t>
        </is>
      </c>
      <c r="F13" s="21" t="inlineStr">
        <is>
          <t>合計</t>
        </is>
      </c>
    </row>
    <row r="14">
      <c r="A14" s="26" t="n"/>
      <c r="B14" s="26" t="n"/>
      <c r="C14" s="27">
        <f>COUNTIF(H6:H10,"OK")</f>
        <v/>
      </c>
      <c r="D14" s="28">
        <f>COUNTIF(H6:H10,"NG")</f>
        <v/>
      </c>
      <c r="E14" s="29">
        <f>COUNTIF(H6:H10,"未実施")</f>
        <v/>
      </c>
      <c r="F14" s="30">
        <f>COUNTA(H6:H10)</f>
        <v/>
      </c>
    </row>
  </sheetData>
  <mergeCells count="13">
    <mergeCell ref="C2:K2"/>
    <mergeCell ref="A3:B3"/>
    <mergeCell ref="A2:B2"/>
    <mergeCell ref="A12:K12"/>
    <mergeCell ref="A13:B13"/>
    <mergeCell ref="C3:K3"/>
    <mergeCell ref="E6:E7"/>
    <mergeCell ref="C6:C7"/>
    <mergeCell ref="A6:A7"/>
    <mergeCell ref="D6:D7"/>
    <mergeCell ref="B6:B7"/>
    <mergeCell ref="A1:K1"/>
    <mergeCell ref="F6:F7"/>
  </mergeCells>
  <dataValidations count="1">
    <dataValidation sqref="H6 H7 H9" showDropDown="0" showInputMessage="0" showErrorMessage="0" allowBlank="1" type="list">
      <formula1>"OK,NG,未実施"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30" customWidth="1" min="3" max="3"/>
    <col width="20" customWidth="1" min="4" max="4"/>
    <col width="22" customWidth="1" min="5" max="5"/>
    <col width="36" customWidth="1" min="6" max="6"/>
    <col width="28" customWidth="1" min="7" max="7"/>
    <col width="14" customWidth="1" min="8" max="8"/>
    <col width="14" customWidth="1" min="9" max="9"/>
    <col width="14" customWidth="1" min="10" max="10"/>
    <col width="22" customWidth="1" min="11" max="11"/>
  </cols>
  <sheetData>
    <row r="1" ht="26" customHeight="1">
      <c r="A1" s="1" t="inlineStr">
        <is>
          <t>テストケース仕様書 ― 統合テスト</t>
        </is>
      </c>
    </row>
    <row r="2" ht="16" customHeight="1">
      <c r="A2" s="2" t="inlineStr">
        <is>
          <t>対応CR番号</t>
        </is>
      </c>
      <c r="C2" s="3" t="inlineStr">
        <is>
          <t>CR-2024-031</t>
        </is>
      </c>
    </row>
    <row r="3" ht="16" customHeight="1">
      <c r="A3" s="2" t="inlineStr">
        <is>
          <t>タイトル</t>
        </is>
      </c>
      <c r="C3" s="3" t="inlineStr">
        <is>
          <t>温度センサー異常検知のしきい値変更</t>
        </is>
      </c>
    </row>
    <row r="5" ht="18" customHeight="1">
      <c r="A5" s="4" t="inlineStr">
        <is>
          <t>TC番号</t>
        </is>
      </c>
      <c r="B5" s="4" t="inlineStr">
        <is>
          <t>テスト種別</t>
        </is>
      </c>
      <c r="C5" s="4" t="inlineStr">
        <is>
          <t>テストケース名</t>
        </is>
      </c>
      <c r="D5" s="4" t="inlineStr">
        <is>
          <t>対応仕様番号</t>
        </is>
      </c>
      <c r="E5" s="4" t="inlineStr">
        <is>
          <t>観点</t>
        </is>
      </c>
      <c r="F5" s="4" t="inlineStr">
        <is>
          <t>確認手順</t>
        </is>
      </c>
      <c r="G5" s="4" t="inlineStr">
        <is>
          <t>確認内容</t>
        </is>
      </c>
      <c r="H5" s="4" t="inlineStr">
        <is>
          <t>確認結果</t>
        </is>
      </c>
      <c r="I5" s="4" t="inlineStr">
        <is>
          <t>確認日</t>
        </is>
      </c>
      <c r="J5" s="4" t="inlineStr">
        <is>
          <t>確認者</t>
        </is>
      </c>
      <c r="K5" s="4" t="inlineStr">
        <is>
          <t>備考</t>
        </is>
      </c>
    </row>
    <row r="6" ht="22" customHeight="1">
      <c r="A6" s="17" t="inlineStr">
        <is>
          <t>TC-IT-031-01</t>
        </is>
      </c>
      <c r="B6" s="17" t="inlineStr">
        <is>
          <t>統合</t>
        </is>
      </c>
      <c r="C6" s="18" t="inlineStr">
        <is>
          <t>monitor_loop→detect_anomaly→update_state の連携確認</t>
        </is>
      </c>
      <c r="D6" s="18" t="inlineStr">
        <is>
          <t>CRS-2024-031-02-01</t>
        </is>
      </c>
      <c r="E6" s="18" t="inlineStr">
        <is>
          <t>モジュール間IF・状態遷移の連携</t>
        </is>
      </c>
      <c r="F6" s="18" t="inlineStr">
        <is>
          <t>1. monitor_loop()を起動し、sensor_value=85.0fのデータを入力する
2. detect_anomaly()の戻り値とSensorStateの状態を確認する</t>
        </is>
      </c>
      <c r="G6" s="7" t="inlineStr">
        <is>
          <t>detect_anomaly()がtrueを返すこと</t>
        </is>
      </c>
      <c r="H6" s="8" t="inlineStr">
        <is>
          <t>未実施</t>
        </is>
      </c>
      <c r="I6" s="9" t="inlineStr"/>
      <c r="J6" s="9" t="inlineStr"/>
      <c r="K6" s="10" t="inlineStr"/>
    </row>
    <row r="7" ht="22" customHeight="1">
      <c r="A7" s="19" t="n"/>
      <c r="B7" s="19" t="n"/>
      <c r="C7" s="19" t="n"/>
      <c r="D7" s="19" t="n"/>
      <c r="E7" s="19" t="n"/>
      <c r="F7" s="19" t="n"/>
      <c r="G7" s="12" t="inlineStr">
        <is>
          <t>SensorStateがALARM_CRITICALに遷移すること</t>
        </is>
      </c>
      <c r="H7" s="8" t="inlineStr">
        <is>
          <t>未実施</t>
        </is>
      </c>
      <c r="I7" s="13" t="inlineStr"/>
      <c r="J7" s="13" t="inlineStr"/>
      <c r="K7" s="14" t="inlineStr"/>
    </row>
    <row r="8" ht="22" customHeight="1">
      <c r="A8" s="11" t="n"/>
      <c r="B8" s="11" t="n"/>
      <c r="C8" s="11" t="n"/>
      <c r="D8" s="11" t="n"/>
      <c r="E8" s="11" t="n"/>
      <c r="F8" s="11" t="n"/>
      <c r="G8" s="7" t="inlineStr">
        <is>
          <t>write_alarm_log()が呼び出されCSVに出力されること</t>
        </is>
      </c>
      <c r="H8" s="8" t="inlineStr">
        <is>
          <t>未実施</t>
        </is>
      </c>
      <c r="I8" s="9" t="inlineStr"/>
      <c r="J8" s="9" t="inlineStr"/>
      <c r="K8" s="10" t="inlineStr"/>
    </row>
    <row r="11" ht="20" customHeight="1">
      <c r="A11" s="20" t="inlineStr">
        <is>
          <t>テスト結果サマリ</t>
        </is>
      </c>
    </row>
    <row r="12">
      <c r="A12" s="21" t="inlineStr">
        <is>
          <t>確認結果集計</t>
        </is>
      </c>
      <c r="B12" s="22" t="n"/>
      <c r="C12" s="23" t="inlineStr">
        <is>
          <t>OK数</t>
        </is>
      </c>
      <c r="D12" s="24" t="inlineStr">
        <is>
          <t>NG数</t>
        </is>
      </c>
      <c r="E12" s="25" t="inlineStr">
        <is>
          <t>未実施</t>
        </is>
      </c>
      <c r="F12" s="21" t="inlineStr">
        <is>
          <t>合計</t>
        </is>
      </c>
    </row>
    <row r="13">
      <c r="A13" s="26" t="n"/>
      <c r="B13" s="26" t="n"/>
      <c r="C13" s="27">
        <f>COUNTIF(H6:H9,"OK")</f>
        <v/>
      </c>
      <c r="D13" s="28">
        <f>COUNTIF(H6:H9,"NG")</f>
        <v/>
      </c>
      <c r="E13" s="29">
        <f>COUNTIF(H6:H9,"未実施")</f>
        <v/>
      </c>
      <c r="F13" s="30">
        <f>COUNTA(H6:H9)</f>
        <v/>
      </c>
    </row>
  </sheetData>
  <mergeCells count="13">
    <mergeCell ref="C2:K2"/>
    <mergeCell ref="A3:B3"/>
    <mergeCell ref="F6:F8"/>
    <mergeCell ref="A2:B2"/>
    <mergeCell ref="A11:K11"/>
    <mergeCell ref="C3:K3"/>
    <mergeCell ref="A12:B12"/>
    <mergeCell ref="C6:C8"/>
    <mergeCell ref="A6:A8"/>
    <mergeCell ref="A1:K1"/>
    <mergeCell ref="D6:D8"/>
    <mergeCell ref="B6:B8"/>
    <mergeCell ref="E6:E8"/>
  </mergeCells>
  <dataValidations count="1">
    <dataValidation sqref="H6 H7 H8" showDropDown="0" showInputMessage="0" showErrorMessage="0" allowBlank="1" type="list">
      <formula1>"OK,NG,未実施"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2026-03-28T20:16:52Z</dcterms:created>
  <dcterms:modified xmlns:dcterms="http://purl.org/dc/terms/" xmlns:xsi="http://www.w3.org/2001/XMLSchema-instance" xsi:type="dcterms:W3CDTF">2026-03-28T20:16:52Z</dcterms:modified>
</cp:coreProperties>
</file>